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예산총괄" sheetId="1" state="visible" r:id="rId3"/>
    <sheet name="카테고리별 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<sst xmlns="http://schemas.openxmlformats.org/spreadsheetml/2006/main" count="100" uniqueCount="75">
  <si>
    <r>
      <rPr>
        <b val="true"/>
        <sz val="16"/>
        <color rgb="FF0B1F3A"/>
        <rFont val="Arial"/>
        <family val="0"/>
        <charset val="1"/>
      </rPr>
      <t xml:space="preserve">IEG × 2026 </t>
    </r>
    <r>
      <rPr>
        <b val="true"/>
        <sz val="16"/>
        <color rgb="FF0B1F3A"/>
        <rFont val="Noto Sans CJK SC"/>
        <family val="2"/>
      </rPr>
      <t xml:space="preserve">산업</t>
    </r>
    <r>
      <rPr>
        <b val="true"/>
        <sz val="16"/>
        <color rgb="FF0B1F3A"/>
        <rFont val="Arial"/>
        <family val="0"/>
        <charset val="1"/>
      </rPr>
      <t xml:space="preserve">AI EXPO (KINTEX) </t>
    </r>
    <r>
      <rPr>
        <b val="true"/>
        <sz val="16"/>
        <color rgb="FF0B1F3A"/>
        <rFont val="Noto Sans CJK SC"/>
        <family val="2"/>
      </rPr>
      <t xml:space="preserve">참가 예산안</t>
    </r>
  </si>
  <si>
    <r>
      <rPr>
        <i val="true"/>
        <sz val="10"/>
        <color rgb="FF5B6478"/>
        <rFont val="Arial"/>
        <family val="0"/>
        <charset val="1"/>
      </rPr>
      <t xml:space="preserve">3×3m </t>
    </r>
    <r>
      <rPr>
        <i val="true"/>
        <sz val="10"/>
        <color rgb="FF5B6478"/>
        <rFont val="Noto Sans CJK SC"/>
        <family val="2"/>
      </rPr>
      <t xml:space="preserve">부스 </t>
    </r>
    <r>
      <rPr>
        <i val="true"/>
        <sz val="10"/>
        <color rgb="FF5B6478"/>
        <rFont val="Arial"/>
        <family val="0"/>
        <charset val="1"/>
      </rPr>
      <t xml:space="preserve">3</t>
    </r>
    <r>
      <rPr>
        <i val="true"/>
        <sz val="10"/>
        <color rgb="FF5B6478"/>
        <rFont val="Noto Sans CJK SC"/>
        <family val="2"/>
      </rPr>
      <t xml:space="preserve">개</t>
    </r>
    <r>
      <rPr>
        <i val="true"/>
        <sz val="10"/>
        <color rgb="FF5B6478"/>
        <rFont val="Arial"/>
        <family val="0"/>
        <charset val="1"/>
      </rPr>
      <t xml:space="preserve">(</t>
    </r>
    <r>
      <rPr>
        <i val="true"/>
        <sz val="10"/>
        <color rgb="FF5B6478"/>
        <rFont val="Noto Sans CJK SC"/>
        <family val="2"/>
      </rPr>
      <t xml:space="preserve">ㄴ자형</t>
    </r>
    <r>
      <rPr>
        <i val="true"/>
        <sz val="10"/>
        <color rgb="FF5B6478"/>
        <rFont val="Arial"/>
        <family val="0"/>
        <charset val="1"/>
      </rPr>
      <t xml:space="preserve">) · 2026.10.21(</t>
    </r>
    <r>
      <rPr>
        <i val="true"/>
        <sz val="10"/>
        <color rgb="FF5B6478"/>
        <rFont val="Noto Sans CJK SC"/>
        <family val="2"/>
      </rPr>
      <t xml:space="preserve">수</t>
    </r>
    <r>
      <rPr>
        <i val="true"/>
        <sz val="10"/>
        <color rgb="FF5B6478"/>
        <rFont val="Arial"/>
        <family val="0"/>
        <charset val="1"/>
      </rPr>
      <t xml:space="preserve">)~23(</t>
    </r>
    <r>
      <rPr>
        <i val="true"/>
        <sz val="10"/>
        <color rgb="FF5B6478"/>
        <rFont val="Noto Sans CJK SC"/>
        <family val="2"/>
      </rPr>
      <t xml:space="preserve">금</t>
    </r>
    <r>
      <rPr>
        <i val="true"/>
        <sz val="10"/>
        <color rgb="FF5B6478"/>
        <rFont val="Arial"/>
        <family val="0"/>
        <charset val="1"/>
      </rPr>
      <t xml:space="preserve">) · </t>
    </r>
    <r>
      <rPr>
        <i val="true"/>
        <sz val="10"/>
        <color rgb="FF5B6478"/>
        <rFont val="Noto Sans CJK SC"/>
        <family val="2"/>
      </rPr>
      <t xml:space="preserve">단위</t>
    </r>
    <r>
      <rPr>
        <i val="true"/>
        <sz val="10"/>
        <color rgb="FF5B6478"/>
        <rFont val="Arial"/>
        <family val="0"/>
        <charset val="1"/>
      </rPr>
      <t xml:space="preserve">: </t>
    </r>
    <r>
      <rPr>
        <i val="true"/>
        <sz val="10"/>
        <color rgb="FF5B6478"/>
        <rFont val="Noto Sans CJK SC"/>
        <family val="2"/>
      </rPr>
      <t xml:space="preserve">원</t>
    </r>
    <r>
      <rPr>
        <i val="true"/>
        <sz val="10"/>
        <color rgb="FF5B6478"/>
        <rFont val="Arial"/>
        <family val="0"/>
        <charset val="1"/>
      </rPr>
      <t xml:space="preserve">(KRW), VAT </t>
    </r>
    <r>
      <rPr>
        <i val="true"/>
        <sz val="10"/>
        <color rgb="FF5B6478"/>
        <rFont val="Noto Sans CJK SC"/>
        <family val="2"/>
      </rPr>
      <t xml:space="preserve">별도 </t>
    </r>
    <r>
      <rPr>
        <i val="true"/>
        <sz val="10"/>
        <color rgb="FF5B6478"/>
        <rFont val="Arial"/>
        <family val="0"/>
        <charset val="1"/>
      </rPr>
      <t xml:space="preserve">· </t>
    </r>
    <r>
      <rPr>
        <i val="true"/>
        <sz val="10"/>
        <color rgb="FF5B6478"/>
        <rFont val="Noto Sans CJK SC"/>
        <family val="2"/>
      </rPr>
      <t xml:space="preserve">파란 글씨 셀만 수정하세요</t>
    </r>
  </si>
  <si>
    <t xml:space="preserve">No</t>
  </si>
  <si>
    <t xml:space="preserve">구분</t>
  </si>
  <si>
    <t xml:space="preserve">항목</t>
  </si>
  <si>
    <t xml:space="preserve">세부내용</t>
  </si>
  <si>
    <t xml:space="preserve">수량</t>
  </si>
  <si>
    <r>
      <rPr>
        <b val="true"/>
        <sz val="10.5"/>
        <color rgb="FFFFFFFF"/>
        <rFont val="Noto Sans CJK SC"/>
        <family val="2"/>
      </rPr>
      <t xml:space="preserve">단가</t>
    </r>
    <r>
      <rPr>
        <b val="true"/>
        <sz val="10.5"/>
        <color rgb="FFFFFFFF"/>
        <rFont val="Arial"/>
        <family val="0"/>
        <charset val="1"/>
      </rPr>
      <t xml:space="preserve">(₩)</t>
    </r>
  </si>
  <si>
    <r>
      <rPr>
        <b val="true"/>
        <sz val="10.5"/>
        <color rgb="FFFFFFFF"/>
        <rFont val="Noto Sans CJK SC"/>
        <family val="2"/>
      </rPr>
      <t xml:space="preserve">금액</t>
    </r>
    <r>
      <rPr>
        <b val="true"/>
        <sz val="10.5"/>
        <color rgb="FFFFFFFF"/>
        <rFont val="Arial"/>
        <family val="0"/>
        <charset val="1"/>
      </rPr>
      <t xml:space="preserve">(₩)</t>
    </r>
  </si>
  <si>
    <r>
      <rPr>
        <sz val="10"/>
        <rFont val="Noto Sans CJK SC"/>
        <family val="2"/>
      </rPr>
      <t xml:space="preserve">부스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공간</t>
    </r>
  </si>
  <si>
    <t xml:space="preserve">부스 임차료</t>
  </si>
  <si>
    <r>
      <rPr>
        <sz val="10"/>
        <rFont val="Arial"/>
        <family val="0"/>
        <charset val="1"/>
      </rPr>
      <t xml:space="preserve">3×3m ×3</t>
    </r>
    <r>
      <rPr>
        <sz val="10"/>
        <rFont val="Noto Sans CJK SC"/>
        <family val="2"/>
      </rPr>
      <t xml:space="preserve">부스</t>
    </r>
    <r>
      <rPr>
        <sz val="10"/>
        <rFont val="Arial"/>
        <family val="0"/>
        <charset val="1"/>
      </rPr>
      <t xml:space="preserve">, 27</t>
    </r>
    <r>
      <rPr>
        <sz val="10"/>
        <rFont val="Noto Sans CJK SC"/>
        <family val="2"/>
      </rPr>
      <t xml:space="preserve">㎡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기본 조립부스</t>
    </r>
    <r>
      <rPr>
        <sz val="10"/>
        <rFont val="Arial"/>
        <family val="0"/>
        <charset val="1"/>
      </rPr>
      <t xml:space="preserve">)</t>
    </r>
  </si>
  <si>
    <t xml:space="preserve">부스 위치 프리미엄</t>
  </si>
  <si>
    <r>
      <rPr>
        <sz val="10"/>
        <rFont val="Noto Sans CJK SC"/>
        <family val="2"/>
      </rPr>
      <t xml:space="preserve">코너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ㄴ자 개방면 가산료</t>
    </r>
  </si>
  <si>
    <t xml:space="preserve">인테리어</t>
  </si>
  <si>
    <t xml:space="preserve">그래픽 시공</t>
  </si>
  <si>
    <r>
      <rPr>
        <sz val="10"/>
        <rFont val="Noto Sans CJK SC"/>
        <family val="2"/>
      </rPr>
      <t xml:space="preserve">백월 그래픽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상단 사인물</t>
    </r>
  </si>
  <si>
    <r>
      <rPr>
        <sz val="10"/>
        <rFont val="Noto Sans CJK SC"/>
        <family val="2"/>
      </rPr>
      <t xml:space="preserve">바닥재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조명</t>
    </r>
  </si>
  <si>
    <r>
      <rPr>
        <sz val="10"/>
        <rFont val="Noto Sans CJK SC"/>
        <family val="2"/>
      </rPr>
      <t xml:space="preserve">존별 컬러 카펫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스팟조명 </t>
    </r>
    <r>
      <rPr>
        <sz val="10"/>
        <rFont val="Arial"/>
        <family val="0"/>
        <charset val="1"/>
      </rPr>
      <t xml:space="preserve">9EA</t>
    </r>
  </si>
  <si>
    <t xml:space="preserve">디자인 감리</t>
  </si>
  <si>
    <r>
      <rPr>
        <sz val="10"/>
        <rFont val="Noto Sans CJK SC"/>
        <family val="2"/>
      </rPr>
      <t xml:space="preserve">인테리어 디자인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현장 감리</t>
    </r>
  </si>
  <si>
    <r>
      <rPr>
        <sz val="10"/>
        <rFont val="Noto Sans CJK SC"/>
        <family val="2"/>
      </rPr>
      <t xml:space="preserve">가구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집기</t>
    </r>
  </si>
  <si>
    <t xml:space="preserve">집기 임차</t>
  </si>
  <si>
    <r>
      <rPr>
        <sz val="10"/>
        <rFont val="Noto Sans CJK SC"/>
        <family val="2"/>
      </rPr>
      <t xml:space="preserve">테이블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리셉션데스크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카탈로그대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보관장</t>
    </r>
  </si>
  <si>
    <r>
      <rPr>
        <sz val="10"/>
        <rFont val="Noto Sans CJK SC"/>
        <family val="2"/>
      </rPr>
      <t xml:space="preserve">전력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네트워크</t>
    </r>
  </si>
  <si>
    <r>
      <rPr>
        <sz val="10"/>
        <rFont val="Noto Sans CJK SC"/>
        <family val="2"/>
      </rPr>
      <t xml:space="preserve">전기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공압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인터넷</t>
    </r>
  </si>
  <si>
    <r>
      <rPr>
        <sz val="10"/>
        <rFont val="Noto Sans CJK SC"/>
        <family val="2"/>
      </rPr>
      <t xml:space="preserve">존별 전력 신청</t>
    </r>
    <r>
      <rPr>
        <sz val="10"/>
        <rFont val="Arial"/>
        <family val="0"/>
        <charset val="1"/>
      </rPr>
      <t xml:space="preserve">, Wi-Fi</t>
    </r>
  </si>
  <si>
    <r>
      <rPr>
        <sz val="10"/>
        <rFont val="Noto Sans CJK SC"/>
        <family val="2"/>
      </rPr>
      <t xml:space="preserve">조명</t>
    </r>
    <r>
      <rPr>
        <sz val="10"/>
        <rFont val="Arial"/>
        <family val="0"/>
        <charset val="1"/>
      </rPr>
      <t xml:space="preserve">/AV</t>
    </r>
  </si>
  <si>
    <t xml:space="preserve">모니터 임차</t>
  </si>
  <si>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인치 스탠드형 모니터</t>
    </r>
  </si>
  <si>
    <t xml:space="preserve">태블릿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</si>
  <si>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퀴즈용 태블릿</t>
    </r>
  </si>
  <si>
    <r>
      <rPr>
        <sz val="10"/>
        <rFont val="Noto Sans CJK SC"/>
        <family val="2"/>
      </rPr>
      <t xml:space="preserve">스피커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케이블</t>
    </r>
  </si>
  <si>
    <r>
      <rPr>
        <sz val="10"/>
        <rFont val="Noto Sans CJK SC"/>
        <family val="2"/>
      </rPr>
      <t xml:space="preserve">사운드 시스템</t>
    </r>
    <r>
      <rPr>
        <sz val="10"/>
        <rFont val="Arial"/>
        <family val="0"/>
        <charset val="1"/>
      </rPr>
      <t xml:space="preserve">, HDMI </t>
    </r>
    <r>
      <rPr>
        <sz val="10"/>
        <rFont val="Noto Sans CJK SC"/>
        <family val="2"/>
      </rPr>
      <t xml:space="preserve">등 연결선</t>
    </r>
  </si>
  <si>
    <t xml:space="preserve">홍보물</t>
  </si>
  <si>
    <r>
      <rPr>
        <sz val="10"/>
        <rFont val="Noto Sans CJK SC"/>
        <family val="2"/>
      </rPr>
      <t xml:space="preserve">백월</t>
    </r>
    <r>
      <rPr>
        <sz val="10"/>
        <rFont val="Arial"/>
        <family val="0"/>
        <charset val="1"/>
      </rPr>
      <t xml:space="preserve">/X</t>
    </r>
    <r>
      <rPr>
        <sz val="10"/>
        <rFont val="Noto Sans CJK SC"/>
        <family val="2"/>
      </rPr>
      <t xml:space="preserve">배너 제작</t>
    </r>
  </si>
  <si>
    <r>
      <rPr>
        <sz val="10"/>
        <rFont val="Noto Sans CJK SC"/>
        <family val="2"/>
      </rPr>
      <t xml:space="preserve">백월 그래픽</t>
    </r>
    <r>
      <rPr>
        <sz val="10"/>
        <rFont val="Arial"/>
        <family val="0"/>
        <charset val="1"/>
      </rPr>
      <t xml:space="preserve">, X</t>
    </r>
    <r>
      <rPr>
        <sz val="10"/>
        <rFont val="Noto Sans CJK SC"/>
        <family val="2"/>
      </rPr>
      <t xml:space="preserve">배너 </t>
    </r>
    <r>
      <rPr>
        <sz val="10"/>
        <rFont val="Arial"/>
        <family val="0"/>
        <charset val="1"/>
      </rPr>
      <t xml:space="preserve">3EA</t>
    </r>
  </si>
  <si>
    <r>
      <rPr>
        <sz val="10"/>
        <rFont val="Noto Sans CJK SC"/>
        <family val="2"/>
      </rPr>
      <t xml:space="preserve">카탈로그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리플렛</t>
    </r>
  </si>
  <si>
    <r>
      <rPr>
        <sz val="10"/>
        <rFont val="Arial"/>
        <family val="0"/>
        <charset val="1"/>
      </rPr>
      <t xml:space="preserve">A4 3</t>
    </r>
    <r>
      <rPr>
        <sz val="10"/>
        <rFont val="Noto Sans CJK SC"/>
        <family val="2"/>
      </rPr>
      <t xml:space="preserve">단접지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매 등</t>
    </r>
  </si>
  <si>
    <r>
      <rPr>
        <sz val="10"/>
        <rFont val="Noto Sans CJK SC"/>
        <family val="2"/>
      </rPr>
      <t xml:space="preserve">명함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기타 인쇄물</t>
    </r>
  </si>
  <si>
    <r>
      <rPr>
        <sz val="10"/>
        <rFont val="Noto Sans CJK SC"/>
        <family val="2"/>
      </rPr>
      <t xml:space="preserve">명함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상담용 폼</t>
    </r>
  </si>
  <si>
    <t xml:space="preserve">이벤트</t>
  </si>
  <si>
    <t xml:space="preserve">퀴즈 콘텐츠 제작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</si>
  <si>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미니퀴즈 콘텐츠 개발</t>
    </r>
  </si>
  <si>
    <t xml:space="preserve">럭키드로우 경품</t>
  </si>
  <si>
    <r>
      <rPr>
        <sz val="10"/>
        <rFont val="Arial"/>
        <family val="0"/>
        <charset val="1"/>
      </rPr>
      <t xml:space="preserve">1~3</t>
    </r>
    <r>
      <rPr>
        <sz val="10"/>
        <rFont val="Noto Sans CJK SC"/>
        <family val="2"/>
      </rPr>
      <t xml:space="preserve">등 경품 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</si>
  <si>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포토존</t>
    </r>
    <r>
      <rPr>
        <sz val="10"/>
        <rFont val="Arial"/>
        <family val="0"/>
        <charset val="1"/>
      </rPr>
      <t xml:space="preserve">/SNS</t>
    </r>
    <r>
      <rPr>
        <sz val="10"/>
        <rFont val="Noto Sans CJK SC"/>
        <family val="2"/>
      </rPr>
      <t xml:space="preserve">이벤트</t>
    </r>
  </si>
  <si>
    <r>
      <rPr>
        <sz val="10"/>
        <rFont val="Noto Sans CJK SC"/>
        <family val="2"/>
      </rPr>
      <t xml:space="preserve">포토존 설치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즉석 판촉물</t>
    </r>
  </si>
  <si>
    <t xml:space="preserve">판촉물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</si>
  <si>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테마 굿즈</t>
    </r>
  </si>
  <si>
    <r>
      <rPr>
        <sz val="10"/>
        <rFont val="Arial"/>
        <family val="0"/>
        <charset val="1"/>
      </rPr>
      <t xml:space="preserve">OTG USB, </t>
    </r>
    <r>
      <rPr>
        <sz val="10"/>
        <rFont val="Noto Sans CJK SC"/>
        <family val="2"/>
      </rPr>
      <t xml:space="preserve">키링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에코백 등</t>
    </r>
  </si>
  <si>
    <t xml:space="preserve">리드관리</t>
  </si>
  <si>
    <t xml:space="preserve">리드 제너레이션 시스템</t>
  </si>
  <si>
    <r>
      <rPr>
        <sz val="10"/>
        <rFont val="Noto Sans CJK SC"/>
        <family val="2"/>
      </rPr>
      <t xml:space="preserve">명함스캐너</t>
    </r>
    <r>
      <rPr>
        <sz val="10"/>
        <rFont val="Arial"/>
        <family val="0"/>
        <charset val="1"/>
      </rPr>
      <t xml:space="preserve">/QR </t>
    </r>
    <r>
      <rPr>
        <sz val="10"/>
        <rFont val="Noto Sans CJK SC"/>
        <family val="2"/>
      </rPr>
      <t xml:space="preserve">등록</t>
    </r>
  </si>
  <si>
    <t xml:space="preserve">인력</t>
  </si>
  <si>
    <t xml:space="preserve">운영 도우미</t>
  </si>
  <si>
    <r>
      <rPr>
        <sz val="10"/>
        <rFont val="Noto Sans CJK SC"/>
        <family val="2"/>
      </rPr>
      <t xml:space="preserve">파견 스태프 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</si>
  <si>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t xml:space="preserve">물류</t>
  </si>
  <si>
    <r>
      <rPr>
        <sz val="10"/>
        <rFont val="Noto Sans CJK SC"/>
        <family val="2"/>
      </rPr>
      <t xml:space="preserve">운송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설치철거</t>
    </r>
  </si>
  <si>
    <r>
      <rPr>
        <sz val="10"/>
        <rFont val="Noto Sans CJK SC"/>
        <family val="2"/>
      </rPr>
      <t xml:space="preserve">장비 운송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설치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철거 인건비</t>
    </r>
  </si>
  <si>
    <t xml:space="preserve">운영경비</t>
  </si>
  <si>
    <r>
      <rPr>
        <sz val="10"/>
        <rFont val="Arial"/>
        <family val="0"/>
        <charset val="1"/>
      </rPr>
      <t xml:space="preserve">TF </t>
    </r>
    <r>
      <rPr>
        <sz val="10"/>
        <rFont val="Noto Sans CJK SC"/>
        <family val="2"/>
      </rPr>
      <t xml:space="preserve">식비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일비</t>
    </r>
  </si>
  <si>
    <r>
      <rPr>
        <sz val="10"/>
        <rFont val="Arial"/>
        <family val="0"/>
        <charset val="1"/>
      </rPr>
      <t xml:space="preserve">TF</t>
    </r>
    <r>
      <rPr>
        <sz val="10"/>
        <rFont val="Noto Sans CJK SC"/>
        <family val="2"/>
      </rPr>
      <t xml:space="preserve">팀 </t>
    </r>
    <r>
      <rPr>
        <sz val="10"/>
        <rFont val="Arial"/>
        <family val="0"/>
        <charset val="1"/>
      </rPr>
      <t xml:space="preserve">3~4</t>
    </r>
    <r>
      <rPr>
        <sz val="10"/>
        <rFont val="Noto Sans CJK SC"/>
        <family val="2"/>
      </rPr>
      <t xml:space="preserve">인 </t>
    </r>
    <r>
      <rPr>
        <sz val="10"/>
        <rFont val="Arial"/>
        <family val="0"/>
        <charset val="1"/>
      </rPr>
      <t xml:space="preserve">× 3</t>
    </r>
    <r>
      <rPr>
        <sz val="10"/>
        <rFont val="Noto Sans CJK SC"/>
        <family val="2"/>
      </rPr>
      <t xml:space="preserve">일</t>
    </r>
  </si>
  <si>
    <t xml:space="preserve">소계</t>
  </si>
  <si>
    <r>
      <rPr>
        <sz val="10"/>
        <rFont val="Noto Sans CJK SC"/>
        <family val="2"/>
      </rPr>
      <t xml:space="preserve">예비비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소계의 </t>
    </r>
    <r>
      <rPr>
        <sz val="10"/>
        <rFont val="Arial"/>
        <family val="0"/>
        <charset val="1"/>
      </rPr>
      <t xml:space="preserve">10%)</t>
    </r>
  </si>
  <si>
    <r>
      <rPr>
        <b val="true"/>
        <sz val="12"/>
        <color rgb="FFFFFFFF"/>
        <rFont val="Noto Sans CJK SC"/>
        <family val="2"/>
      </rPr>
      <t xml:space="preserve">총 합계 </t>
    </r>
    <r>
      <rPr>
        <b val="true"/>
        <sz val="12"/>
        <color rgb="FFFFFFFF"/>
        <rFont val="Arial"/>
        <family val="0"/>
        <charset val="1"/>
      </rPr>
      <t xml:space="preserve">(VAT </t>
    </r>
    <r>
      <rPr>
        <b val="true"/>
        <sz val="12"/>
        <color rgb="FFFFFFFF"/>
        <rFont val="Noto Sans CJK SC"/>
        <family val="2"/>
      </rPr>
      <t xml:space="preserve">별도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</si>
  <si>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b val="true"/>
        <sz val="10.5"/>
        <color rgb="FF0B1F3A"/>
        <rFont val="Noto Sans CJK SC"/>
        <family val="2"/>
      </rPr>
      <t xml:space="preserve">정부지원 활용 시 </t>
    </r>
    <r>
      <rPr>
        <b val="true"/>
        <sz val="10.5"/>
        <color rgb="FF0B1F3A"/>
        <rFont val="Arial"/>
        <family val="0"/>
        <charset val="1"/>
      </rPr>
      <t xml:space="preserve">(</t>
    </r>
    <r>
      <rPr>
        <b val="true"/>
        <sz val="10.5"/>
        <color rgb="FF0B1F3A"/>
        <rFont val="Noto Sans CJK SC"/>
        <family val="2"/>
      </rPr>
      <t xml:space="preserve">예</t>
    </r>
    <r>
      <rPr>
        <b val="true"/>
        <sz val="10.5"/>
        <color rgb="FF0B1F3A"/>
        <rFont val="Arial"/>
        <family val="0"/>
        <charset val="1"/>
      </rPr>
      <t xml:space="preserve">: </t>
    </r>
    <r>
      <rPr>
        <b val="true"/>
        <sz val="10.5"/>
        <color rgb="FF0B1F3A"/>
        <rFont val="Noto Sans CJK SC"/>
        <family val="2"/>
      </rPr>
      <t xml:space="preserve">수출바우처</t>
    </r>
    <r>
      <rPr>
        <b val="true"/>
        <sz val="10.5"/>
        <color rgb="FF0B1F3A"/>
        <rFont val="Arial"/>
        <family val="0"/>
        <charset val="1"/>
      </rPr>
      <t xml:space="preserve">, </t>
    </r>
    <r>
      <rPr>
        <b val="true"/>
        <sz val="10.5"/>
        <color rgb="FF0B1F3A"/>
        <rFont val="Noto Sans CJK SC"/>
        <family val="2"/>
      </rPr>
      <t xml:space="preserve">참가지원사업</t>
    </r>
    <r>
      <rPr>
        <b val="true"/>
        <sz val="10.5"/>
        <color rgb="FF0B1F3A"/>
        <rFont val="Arial"/>
        <family val="0"/>
        <charset val="1"/>
      </rPr>
      <t xml:space="preserve">)</t>
    </r>
  </si>
  <si>
    <t xml:space="preserve">비율</t>
  </si>
  <si>
    <r>
      <rPr>
        <sz val="10"/>
        <rFont val="Noto Sans CJK SC"/>
        <family val="2"/>
      </rPr>
      <t xml:space="preserve">정부지원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바우처</t>
    </r>
    <r>
      <rPr>
        <sz val="10"/>
        <rFont val="Arial"/>
        <family val="0"/>
        <charset val="1"/>
      </rPr>
      <t xml:space="preserve">)</t>
    </r>
  </si>
  <si>
    <t xml:space="preserve">자부담</t>
  </si>
  <si>
    <r>
      <rPr>
        <i val="true"/>
        <sz val="9"/>
        <color rgb="FFA9660C"/>
        <rFont val="Noto Sans CJK SC"/>
        <family val="2"/>
      </rPr>
      <t xml:space="preserve">※ 단가는 </t>
    </r>
    <r>
      <rPr>
        <i val="true"/>
        <sz val="9"/>
        <color rgb="FFA9660C"/>
        <rFont val="Arial"/>
        <family val="0"/>
        <charset val="1"/>
      </rPr>
      <t xml:space="preserve">KINTEX </t>
    </r>
    <r>
      <rPr>
        <i val="true"/>
        <sz val="9"/>
        <color rgb="FFA9660C"/>
        <rFont val="Noto Sans CJK SC"/>
        <family val="2"/>
      </rPr>
      <t xml:space="preserve">조립부스 기준 추정치입니다</t>
    </r>
    <r>
      <rPr>
        <i val="true"/>
        <sz val="9"/>
        <color rgb="FFA9660C"/>
        <rFont val="Arial"/>
        <family val="0"/>
        <charset val="1"/>
      </rPr>
      <t xml:space="preserve">. </t>
    </r>
    <r>
      <rPr>
        <i val="true"/>
        <sz val="9"/>
        <color rgb="FFA9660C"/>
        <rFont val="Noto Sans CJK SC"/>
        <family val="2"/>
      </rPr>
      <t xml:space="preserve">실제 부스 위치</t>
    </r>
    <r>
      <rPr>
        <i val="true"/>
        <sz val="9"/>
        <color rgb="FFA9660C"/>
        <rFont val="Arial"/>
        <family val="0"/>
        <charset val="1"/>
      </rPr>
      <t xml:space="preserve">·</t>
    </r>
    <r>
      <rPr>
        <i val="true"/>
        <sz val="9"/>
        <color rgb="FFA9660C"/>
        <rFont val="Noto Sans CJK SC"/>
        <family val="2"/>
      </rPr>
      <t xml:space="preserve">업체 견적 확정 후 파란 글씨</t>
    </r>
    <r>
      <rPr>
        <i val="true"/>
        <sz val="9"/>
        <color rgb="FFA9660C"/>
        <rFont val="Arial"/>
        <family val="0"/>
        <charset val="1"/>
      </rPr>
      <t xml:space="preserve">(</t>
    </r>
    <r>
      <rPr>
        <i val="true"/>
        <sz val="9"/>
        <color rgb="FFA9660C"/>
        <rFont val="Noto Sans CJK SC"/>
        <family val="2"/>
      </rPr>
      <t xml:space="preserve">수량</t>
    </r>
    <r>
      <rPr>
        <i val="true"/>
        <sz val="9"/>
        <color rgb="FFA9660C"/>
        <rFont val="Arial"/>
        <family val="0"/>
        <charset val="1"/>
      </rPr>
      <t xml:space="preserve">/</t>
    </r>
    <r>
      <rPr>
        <i val="true"/>
        <sz val="9"/>
        <color rgb="FFA9660C"/>
        <rFont val="Noto Sans CJK SC"/>
        <family val="2"/>
      </rPr>
      <t xml:space="preserve">단가</t>
    </r>
    <r>
      <rPr>
        <i val="true"/>
        <sz val="9"/>
        <color rgb="FFA9660C"/>
        <rFont val="Arial"/>
        <family val="0"/>
        <charset val="1"/>
      </rPr>
      <t xml:space="preserve">/</t>
    </r>
    <r>
      <rPr>
        <i val="true"/>
        <sz val="9"/>
        <color rgb="FFA9660C"/>
        <rFont val="Noto Sans CJK SC"/>
        <family val="2"/>
      </rPr>
      <t xml:space="preserve">지원비율</t>
    </r>
    <r>
      <rPr>
        <i val="true"/>
        <sz val="9"/>
        <color rgb="FFA9660C"/>
        <rFont val="Arial"/>
        <family val="0"/>
        <charset val="1"/>
      </rPr>
      <t xml:space="preserve">) </t>
    </r>
    <r>
      <rPr>
        <i val="true"/>
        <sz val="9"/>
        <color rgb="FFA9660C"/>
        <rFont val="Noto Sans CJK SC"/>
        <family val="2"/>
      </rPr>
      <t xml:space="preserve">셀만 교체하면 전체 금액이 자동 재계산됩니다</t>
    </r>
    <r>
      <rPr>
        <i val="true"/>
        <sz val="9"/>
        <color rgb="FFA9660C"/>
        <rFont val="Arial"/>
        <family val="0"/>
        <charset val="1"/>
      </rPr>
      <t xml:space="preserve">.</t>
    </r>
  </si>
  <si>
    <t xml:space="preserve">카테고리별 예산 요약</t>
  </si>
  <si>
    <r>
      <rPr>
        <i val="true"/>
        <sz val="10"/>
        <color rgb="FF5B6478"/>
        <rFont val="Noto Sans CJK SC"/>
        <family val="2"/>
      </rPr>
      <t xml:space="preserve">예산총괄 시트의 데이터를 자동 집계합니다 </t>
    </r>
    <r>
      <rPr>
        <i val="true"/>
        <sz val="10"/>
        <color rgb="FF5B6478"/>
        <rFont val="Arial"/>
        <family val="0"/>
        <charset val="1"/>
      </rPr>
      <t xml:space="preserve">(</t>
    </r>
    <r>
      <rPr>
        <i val="true"/>
        <sz val="10"/>
        <color rgb="FF5B6478"/>
        <rFont val="Noto Sans CJK SC"/>
        <family val="2"/>
      </rPr>
      <t xml:space="preserve">수정 불필요</t>
    </r>
    <r>
      <rPr>
        <i val="true"/>
        <sz val="10"/>
        <color rgb="FF5B6478"/>
        <rFont val="Arial"/>
        <family val="0"/>
        <charset val="1"/>
      </rPr>
      <t xml:space="preserve">)</t>
    </r>
  </si>
  <si>
    <t xml:space="preserve">비중</t>
  </si>
  <si>
    <t xml:space="preserve">합계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</si>
</sst>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F3A"/>
      <name val="Arial"/>
      <family val="0"/>
      <charset val="1"/>
    </font>
    <font>
      <b val="true"/>
      <sz val="16"/>
      <color rgb="FF0B1F3A"/>
      <name val="Noto Sans CJK SC"/>
      <family val="2"/>
    </font>
    <font>
      <i val="true"/>
      <sz val="10"/>
      <color rgb="FF5B6478"/>
      <name val="Arial"/>
      <family val="0"/>
      <charset val="1"/>
    </font>
    <font>
      <i val="true"/>
      <sz val="10"/>
      <color rgb="FF5B6478"/>
      <name val="Noto Sans CJK SC"/>
      <family val="2"/>
    </font>
    <font>
      <b val="true"/>
      <sz val="10.5"/>
      <color rgb="FFFFFFFF"/>
      <name val="Arial"/>
      <family val="0"/>
      <charset val="1"/>
    </font>
    <font>
      <b val="true"/>
      <sz val="10.5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color rgb="FF0B1F3A"/>
      <name val="Noto Sans CJK SC"/>
      <family val="2"/>
    </font>
    <font>
      <b val="true"/>
      <sz val="11"/>
      <color rgb="FF0B1F3A"/>
      <name val="Arial"/>
      <family val="0"/>
      <charset val="1"/>
    </font>
    <font>
      <b val="true"/>
      <sz val="12"/>
      <color rgb="FFFFFFFF"/>
      <name val="Noto Sans CJK SC"/>
      <family val="2"/>
    </font>
    <font>
      <b val="true"/>
      <sz val="12"/>
      <color rgb="FFFFFFFF"/>
      <name val="Arial"/>
      <family val="0"/>
      <charset val="1"/>
    </font>
    <font>
      <b val="true"/>
      <sz val="10.5"/>
      <color rgb="FF0B1F3A"/>
      <name val="Noto Sans CJK SC"/>
      <family val="2"/>
    </font>
    <font>
      <b val="true"/>
      <sz val="10.5"/>
      <color rgb="FF0B1F3A"/>
      <name val="Arial"/>
      <family val="0"/>
      <charset val="1"/>
    </font>
    <font>
      <i val="true"/>
      <sz val="9"/>
      <color rgb="FFA9660C"/>
      <name val="Noto Sans CJK SC"/>
      <family val="2"/>
    </font>
    <font>
      <i val="true"/>
      <sz val="9"/>
      <color rgb="FFA9660C"/>
      <name val="Arial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E7EDFF"/>
        <bgColor rgb="FFF9F9F9"/>
      </patternFill>
    </fill>
    <fill>
      <patternFill patternType="solid">
        <fgColor rgb="FFFFF1DE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60C"/>
      <rgbColor rgb="FF800080"/>
      <rgbColor rgb="FF008080"/>
      <rgbColor rgb="FFD9D9D9"/>
      <rgbColor rgb="FF878787"/>
      <rgbColor rgb="FF9999FF"/>
      <rgbColor rgb="FF993366"/>
      <rgbColor rgb="FFFFF1DE"/>
      <rgbColor rgb="FFE7EDFF"/>
      <rgbColor rgb="FF660066"/>
      <rgbColor rgb="FFFF8080"/>
      <rgbColor rgb="FF0066CC"/>
      <rgbColor rgb="FFD9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B6478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카테고리별 예산 비중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'카테고리별 요약'!B4</c:f>
              <c:strCache>
                <c:ptCount val="1"/>
                <c:pt idx="0">
                  <c:v>금액(₩)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'카테고리별 요약'!$A$5:$A$16</c:f>
              <c:strCache>
                <c:ptCount val="12"/>
                <c:pt idx="0">
                  <c:v>부스/공간</c:v>
                </c:pt>
                <c:pt idx="1">
                  <c:v>인테리어</c:v>
                </c:pt>
                <c:pt idx="2">
                  <c:v>가구/집기</c:v>
                </c:pt>
                <c:pt idx="3">
                  <c:v>전력/네트워크</c:v>
                </c:pt>
                <c:pt idx="4">
                  <c:v>조명/AV</c:v>
                </c:pt>
                <c:pt idx="5">
                  <c:v>홍보물</c:v>
                </c:pt>
                <c:pt idx="6">
                  <c:v>이벤트</c:v>
                </c:pt>
                <c:pt idx="7">
                  <c:v>판촉물</c:v>
                </c:pt>
                <c:pt idx="8">
                  <c:v>리드관리</c:v>
                </c:pt>
                <c:pt idx="9">
                  <c:v>인력</c:v>
                </c:pt>
                <c:pt idx="10">
                  <c:v>물류</c:v>
                </c:pt>
                <c:pt idx="11">
                  <c:v>운영경비</c:v>
                </c:pt>
              </c:strCache>
            </c:strRef>
          </c:cat>
          <c:val>
            <c:numRef>
              <c:f>'카테고리별 요약'!$B$5:$B$16</c:f>
              <c:numCache>
                <c:formatCode>#,##0</c:formatCode>
                <c:ptCount val="12"/>
                <c:pt idx="0">
                  <c:v>9005000</c:v>
                </c:pt>
                <c:pt idx="1">
                  <c:v>9000000</c:v>
                </c:pt>
                <c:pt idx="2">
                  <c:v>1500000</c:v>
                </c:pt>
                <c:pt idx="3">
                  <c:v>600000</c:v>
                </c:pt>
                <c:pt idx="4">
                  <c:v>2950000</c:v>
                </c:pt>
                <c:pt idx="5">
                  <c:v>2800000</c:v>
                </c:pt>
                <c:pt idx="6">
                  <c:v>3500000</c:v>
                </c:pt>
                <c:pt idx="7">
                  <c:v>2000000</c:v>
                </c:pt>
                <c:pt idx="8">
                  <c:v>600000</c:v>
                </c:pt>
                <c:pt idx="9">
                  <c:v>1200000</c:v>
                </c:pt>
                <c:pt idx="10">
                  <c:v>1200000</c:v>
                </c:pt>
                <c:pt idx="11">
                  <c:v>900000</c:v>
                </c:pt>
              </c:numCache>
            </c:numRef>
          </c:val>
        </c:ser>
        <c:gapWidth val="150"/>
        <c:overlap val="0"/>
        <c:axId val="78938434"/>
        <c:axId val="79499373"/>
      </c:barChart>
      <c:catAx>
        <c:axId val="789384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499373"/>
        <c:crosses val="autoZero"/>
        <c:auto val="1"/>
        <c:lblAlgn val="ctr"/>
        <c:lblOffset val="100"/>
        <c:noMultiLvlLbl val="0"/>
      </c:catAx>
      <c:valAx>
        <c:axId val="794993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금액(₩)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384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131040</xdr:rowOff>
    </xdr:from>
    <xdr:to>
      <xdr:col>13</xdr:col>
      <xdr:colOff>255960</xdr:colOff>
      <xdr:row>19</xdr:row>
      <xdr:rowOff>114480</xdr:rowOff>
    </xdr:to>
    <xdr:graphicFrame>
      <xdr:nvGraphicFramePr>
        <xdr:cNvPr id="0" name="Chart 1"/>
        <xdr:cNvGraphicFramePr/>
      </xdr:nvGraphicFramePr>
      <xdr:xfrm>
        <a:off x="343080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23.8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6.4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false" outlineLevel="0" collapsed="false">
      <c r="A5" s="5" t="n">
        <v>1</v>
      </c>
      <c r="B5" s="6" t="s">
        <v>9</v>
      </c>
      <c r="C5" s="6" t="s">
        <v>10</v>
      </c>
      <c r="D5" s="5" t="s">
        <v>11</v>
      </c>
      <c r="E5" s="5" t="n">
        <v>27</v>
      </c>
      <c r="F5" s="7" t="n">
        <v>315000</v>
      </c>
      <c r="G5" s="7" t="n">
        <f aca="false">E5*F5</f>
        <v>8505000</v>
      </c>
    </row>
    <row r="6" customFormat="false" ht="15" hidden="false" customHeight="false" outlineLevel="0" collapsed="false">
      <c r="A6" s="5" t="n">
        <v>2</v>
      </c>
      <c r="B6" s="6" t="s">
        <v>9</v>
      </c>
      <c r="C6" s="6" t="s">
        <v>12</v>
      </c>
      <c r="D6" s="6" t="s">
        <v>13</v>
      </c>
      <c r="E6" s="5" t="n">
        <v>1</v>
      </c>
      <c r="F6" s="7" t="n">
        <v>500000</v>
      </c>
      <c r="G6" s="7" t="n">
        <f aca="false">E6*F6</f>
        <v>500000</v>
      </c>
    </row>
    <row r="7" customFormat="false" ht="15" hidden="false" customHeight="false" outlineLevel="0" collapsed="false">
      <c r="A7" s="5" t="n">
        <v>3</v>
      </c>
      <c r="B7" s="6" t="s">
        <v>14</v>
      </c>
      <c r="C7" s="6" t="s">
        <v>15</v>
      </c>
      <c r="D7" s="6" t="s">
        <v>16</v>
      </c>
      <c r="E7" s="5" t="n">
        <v>1</v>
      </c>
      <c r="F7" s="7" t="n">
        <v>4500000</v>
      </c>
      <c r="G7" s="7" t="n">
        <f aca="false">E7*F7</f>
        <v>4500000</v>
      </c>
    </row>
    <row r="8" customFormat="false" ht="15" hidden="false" customHeight="false" outlineLevel="0" collapsed="false">
      <c r="A8" s="5" t="n">
        <v>4</v>
      </c>
      <c r="B8" s="6" t="s">
        <v>14</v>
      </c>
      <c r="C8" s="6" t="s">
        <v>17</v>
      </c>
      <c r="D8" s="6" t="s">
        <v>18</v>
      </c>
      <c r="E8" s="5" t="n">
        <v>1</v>
      </c>
      <c r="F8" s="7" t="n">
        <v>3000000</v>
      </c>
      <c r="G8" s="7" t="n">
        <f aca="false">E8*F8</f>
        <v>3000000</v>
      </c>
    </row>
    <row r="9" customFormat="false" ht="15" hidden="false" customHeight="false" outlineLevel="0" collapsed="false">
      <c r="A9" s="5" t="n">
        <v>5</v>
      </c>
      <c r="B9" s="6" t="s">
        <v>14</v>
      </c>
      <c r="C9" s="6" t="s">
        <v>19</v>
      </c>
      <c r="D9" s="6" t="s">
        <v>20</v>
      </c>
      <c r="E9" s="5" t="n">
        <v>1</v>
      </c>
      <c r="F9" s="7" t="n">
        <v>1500000</v>
      </c>
      <c r="G9" s="7" t="n">
        <f aca="false">E9*F9</f>
        <v>1500000</v>
      </c>
    </row>
    <row r="10" customFormat="false" ht="29.85" hidden="false" customHeight="false" outlineLevel="0" collapsed="false">
      <c r="A10" s="5" t="n">
        <v>6</v>
      </c>
      <c r="B10" s="6" t="s">
        <v>21</v>
      </c>
      <c r="C10" s="6" t="s">
        <v>22</v>
      </c>
      <c r="D10" s="6" t="s">
        <v>23</v>
      </c>
      <c r="E10" s="5" t="n">
        <v>1</v>
      </c>
      <c r="F10" s="7" t="n">
        <v>1500000</v>
      </c>
      <c r="G10" s="7" t="n">
        <f aca="false">E10*F10</f>
        <v>1500000</v>
      </c>
    </row>
    <row r="11" customFormat="false" ht="15" hidden="false" customHeight="false" outlineLevel="0" collapsed="false">
      <c r="A11" s="5" t="n">
        <v>7</v>
      </c>
      <c r="B11" s="6" t="s">
        <v>24</v>
      </c>
      <c r="C11" s="6" t="s">
        <v>25</v>
      </c>
      <c r="D11" s="6" t="s">
        <v>26</v>
      </c>
      <c r="E11" s="5" t="n">
        <v>3</v>
      </c>
      <c r="F11" s="7" t="n">
        <v>200000</v>
      </c>
      <c r="G11" s="7" t="n">
        <f aca="false">E11*F11</f>
        <v>600000</v>
      </c>
    </row>
    <row r="12" customFormat="false" ht="15" hidden="false" customHeight="false" outlineLevel="0" collapsed="false">
      <c r="A12" s="5" t="n">
        <v>8</v>
      </c>
      <c r="B12" s="6" t="s">
        <v>27</v>
      </c>
      <c r="C12" s="6" t="s">
        <v>28</v>
      </c>
      <c r="D12" s="5" t="s">
        <v>29</v>
      </c>
      <c r="E12" s="5" t="n">
        <v>3</v>
      </c>
      <c r="F12" s="7" t="n">
        <v>600000</v>
      </c>
      <c r="G12" s="7" t="n">
        <f aca="false">E12*F12</f>
        <v>1800000</v>
      </c>
    </row>
    <row r="13" customFormat="false" ht="15" hidden="false" customHeight="false" outlineLevel="0" collapsed="false">
      <c r="A13" s="5" t="n">
        <v>9</v>
      </c>
      <c r="B13" s="6" t="s">
        <v>27</v>
      </c>
      <c r="C13" s="6" t="s">
        <v>30</v>
      </c>
      <c r="D13" s="5" t="s">
        <v>31</v>
      </c>
      <c r="E13" s="5" t="n">
        <v>5</v>
      </c>
      <c r="F13" s="7" t="n">
        <v>150000</v>
      </c>
      <c r="G13" s="7" t="n">
        <f aca="false">E13*F13</f>
        <v>750000</v>
      </c>
    </row>
    <row r="14" customFormat="false" ht="15" hidden="false" customHeight="false" outlineLevel="0" collapsed="false">
      <c r="A14" s="5" t="n">
        <v>10</v>
      </c>
      <c r="B14" s="6" t="s">
        <v>27</v>
      </c>
      <c r="C14" s="6" t="s">
        <v>32</v>
      </c>
      <c r="D14" s="6" t="s">
        <v>33</v>
      </c>
      <c r="E14" s="5" t="n">
        <v>1</v>
      </c>
      <c r="F14" s="7" t="n">
        <v>400000</v>
      </c>
      <c r="G14" s="7" t="n">
        <f aca="false">E14*F14</f>
        <v>400000</v>
      </c>
    </row>
    <row r="15" customFormat="false" ht="15" hidden="false" customHeight="false" outlineLevel="0" collapsed="false">
      <c r="A15" s="5" t="n">
        <v>11</v>
      </c>
      <c r="B15" s="6" t="s">
        <v>34</v>
      </c>
      <c r="C15" s="6" t="s">
        <v>35</v>
      </c>
      <c r="D15" s="6" t="s">
        <v>36</v>
      </c>
      <c r="E15" s="5" t="n">
        <v>1</v>
      </c>
      <c r="F15" s="7" t="n">
        <v>1800000</v>
      </c>
      <c r="G15" s="7" t="n">
        <f aca="false">E15*F15</f>
        <v>1800000</v>
      </c>
    </row>
    <row r="16" customFormat="false" ht="15" hidden="false" customHeight="false" outlineLevel="0" collapsed="false">
      <c r="A16" s="5" t="n">
        <v>12</v>
      </c>
      <c r="B16" s="6" t="s">
        <v>34</v>
      </c>
      <c r="C16" s="6" t="s">
        <v>37</v>
      </c>
      <c r="D16" s="5" t="s">
        <v>38</v>
      </c>
      <c r="E16" s="5" t="n">
        <v>1</v>
      </c>
      <c r="F16" s="7" t="n">
        <v>700000</v>
      </c>
      <c r="G16" s="7" t="n">
        <f aca="false">E16*F16</f>
        <v>700000</v>
      </c>
    </row>
    <row r="17" customFormat="false" ht="15" hidden="false" customHeight="false" outlineLevel="0" collapsed="false">
      <c r="A17" s="5" t="n">
        <v>13</v>
      </c>
      <c r="B17" s="6" t="s">
        <v>34</v>
      </c>
      <c r="C17" s="6" t="s">
        <v>39</v>
      </c>
      <c r="D17" s="6" t="s">
        <v>40</v>
      </c>
      <c r="E17" s="5" t="n">
        <v>1</v>
      </c>
      <c r="F17" s="7" t="n">
        <v>300000</v>
      </c>
      <c r="G17" s="7" t="n">
        <f aca="false">E17*F17</f>
        <v>300000</v>
      </c>
    </row>
    <row r="18" customFormat="false" ht="15" hidden="false" customHeight="false" outlineLevel="0" collapsed="false">
      <c r="A18" s="5" t="n">
        <v>14</v>
      </c>
      <c r="B18" s="6" t="s">
        <v>41</v>
      </c>
      <c r="C18" s="6" t="s">
        <v>42</v>
      </c>
      <c r="D18" s="5" t="s">
        <v>43</v>
      </c>
      <c r="E18" s="5" t="n">
        <v>1</v>
      </c>
      <c r="F18" s="7" t="n">
        <v>1500000</v>
      </c>
      <c r="G18" s="7" t="n">
        <f aca="false">E18*F18</f>
        <v>1500000</v>
      </c>
    </row>
    <row r="19" customFormat="false" ht="15" hidden="false" customHeight="false" outlineLevel="0" collapsed="false">
      <c r="A19" s="5" t="n">
        <v>15</v>
      </c>
      <c r="B19" s="6" t="s">
        <v>41</v>
      </c>
      <c r="C19" s="6" t="s">
        <v>44</v>
      </c>
      <c r="D19" s="5" t="s">
        <v>45</v>
      </c>
      <c r="E19" s="5" t="n">
        <v>1</v>
      </c>
      <c r="F19" s="7" t="n">
        <v>1200000</v>
      </c>
      <c r="G19" s="7" t="n">
        <f aca="false">E19*F19</f>
        <v>1200000</v>
      </c>
    </row>
    <row r="20" customFormat="false" ht="15" hidden="false" customHeight="false" outlineLevel="0" collapsed="false">
      <c r="A20" s="5" t="n">
        <v>16</v>
      </c>
      <c r="B20" s="6" t="s">
        <v>41</v>
      </c>
      <c r="C20" s="6" t="s">
        <v>46</v>
      </c>
      <c r="D20" s="6" t="s">
        <v>47</v>
      </c>
      <c r="E20" s="5" t="n">
        <v>1</v>
      </c>
      <c r="F20" s="7" t="n">
        <v>800000</v>
      </c>
      <c r="G20" s="7" t="n">
        <f aca="false">E20*F20</f>
        <v>800000</v>
      </c>
    </row>
    <row r="21" customFormat="false" ht="15" hidden="false" customHeight="false" outlineLevel="0" collapsed="false">
      <c r="A21" s="5" t="n">
        <v>17</v>
      </c>
      <c r="B21" s="6" t="s">
        <v>48</v>
      </c>
      <c r="C21" s="5" t="s">
        <v>49</v>
      </c>
      <c r="D21" s="5" t="s">
        <v>50</v>
      </c>
      <c r="E21" s="5" t="n">
        <v>1</v>
      </c>
      <c r="F21" s="7" t="n">
        <v>2000000</v>
      </c>
      <c r="G21" s="7" t="n">
        <f aca="false">E21*F21</f>
        <v>2000000</v>
      </c>
    </row>
    <row r="22" customFormat="false" ht="15" hidden="false" customHeight="false" outlineLevel="0" collapsed="false">
      <c r="A22" s="5" t="n">
        <v>18</v>
      </c>
      <c r="B22" s="6" t="s">
        <v>51</v>
      </c>
      <c r="C22" s="6" t="s">
        <v>52</v>
      </c>
      <c r="D22" s="6" t="s">
        <v>53</v>
      </c>
      <c r="E22" s="5" t="n">
        <v>1</v>
      </c>
      <c r="F22" s="7" t="n">
        <v>600000</v>
      </c>
      <c r="G22" s="7" t="n">
        <f aca="false">E22*F22</f>
        <v>600000</v>
      </c>
    </row>
    <row r="23" customFormat="false" ht="15" hidden="false" customHeight="false" outlineLevel="0" collapsed="false">
      <c r="A23" s="5" t="n">
        <v>19</v>
      </c>
      <c r="B23" s="6" t="s">
        <v>54</v>
      </c>
      <c r="C23" s="6" t="s">
        <v>55</v>
      </c>
      <c r="D23" s="6" t="s">
        <v>56</v>
      </c>
      <c r="E23" s="5" t="n">
        <v>2</v>
      </c>
      <c r="F23" s="7" t="n">
        <v>600000</v>
      </c>
      <c r="G23" s="7" t="n">
        <f aca="false">E23*F23</f>
        <v>1200000</v>
      </c>
    </row>
    <row r="24" customFormat="false" ht="15" hidden="false" customHeight="false" outlineLevel="0" collapsed="false">
      <c r="A24" s="5" t="n">
        <v>20</v>
      </c>
      <c r="B24" s="6" t="s">
        <v>57</v>
      </c>
      <c r="C24" s="6" t="s">
        <v>58</v>
      </c>
      <c r="D24" s="6" t="s">
        <v>59</v>
      </c>
      <c r="E24" s="5" t="n">
        <v>1</v>
      </c>
      <c r="F24" s="7" t="n">
        <v>1200000</v>
      </c>
      <c r="G24" s="7" t="n">
        <f aca="false">E24*F24</f>
        <v>1200000</v>
      </c>
    </row>
    <row r="25" customFormat="false" ht="15" hidden="false" customHeight="false" outlineLevel="0" collapsed="false">
      <c r="A25" s="5" t="n">
        <v>21</v>
      </c>
      <c r="B25" s="6" t="s">
        <v>60</v>
      </c>
      <c r="C25" s="5" t="s">
        <v>61</v>
      </c>
      <c r="D25" s="5" t="s">
        <v>62</v>
      </c>
      <c r="E25" s="5" t="n">
        <v>1</v>
      </c>
      <c r="F25" s="7" t="n">
        <v>900000</v>
      </c>
      <c r="G25" s="7" t="n">
        <f aca="false">E25*F25</f>
        <v>900000</v>
      </c>
    </row>
    <row r="26" customFormat="false" ht="15" hidden="false" customHeight="false" outlineLevel="0" collapsed="false">
      <c r="A26" s="8" t="s">
        <v>63</v>
      </c>
      <c r="B26" s="8"/>
      <c r="C26" s="8"/>
      <c r="D26" s="8"/>
      <c r="E26" s="8"/>
      <c r="F26" s="8"/>
      <c r="G26" s="9" t="n">
        <f aca="false">SUM(G5:G25)</f>
        <v>35255000</v>
      </c>
    </row>
    <row r="27" customFormat="false" ht="15" hidden="false" customHeight="true" outlineLevel="0" collapsed="false">
      <c r="A27" s="6" t="s">
        <v>64</v>
      </c>
      <c r="B27" s="6"/>
      <c r="C27" s="6"/>
      <c r="D27" s="6"/>
      <c r="E27" s="6"/>
      <c r="F27" s="6"/>
      <c r="G27" s="7" t="n">
        <f aca="false">G26*0.1</f>
        <v>3525500</v>
      </c>
    </row>
    <row r="28" customFormat="false" ht="19.4" hidden="false" customHeight="false" outlineLevel="0" collapsed="false">
      <c r="A28" s="10" t="s">
        <v>65</v>
      </c>
      <c r="B28" s="10"/>
      <c r="C28" s="10"/>
      <c r="D28" s="10"/>
      <c r="E28" s="10"/>
      <c r="F28" s="10"/>
      <c r="G28" s="11" t="n">
        <f aca="false">G26+G27</f>
        <v>38780500</v>
      </c>
    </row>
    <row r="30" customFormat="false" ht="16.4" hidden="false" customHeight="false" outlineLevel="0" collapsed="false">
      <c r="A30" s="12" t="s">
        <v>66</v>
      </c>
      <c r="B30" s="12"/>
      <c r="C30" s="12"/>
    </row>
    <row r="31" customFormat="false" ht="16.4" hidden="false" customHeight="false" outlineLevel="0" collapsed="false">
      <c r="A31" s="4" t="s">
        <v>3</v>
      </c>
      <c r="B31" s="4" t="s">
        <v>67</v>
      </c>
      <c r="C31" s="4" t="s">
        <v>8</v>
      </c>
    </row>
    <row r="32" customFormat="false" ht="69.4" hidden="false" customHeight="false" outlineLevel="0" collapsed="false">
      <c r="A32" s="6" t="s">
        <v>68</v>
      </c>
      <c r="B32" s="13" t="n">
        <v>0.6</v>
      </c>
      <c r="C32" s="7" t="n">
        <f aca="false">G28*B32</f>
        <v>23268300</v>
      </c>
    </row>
    <row r="33" customFormat="false" ht="29.85" hidden="false" customHeight="false" outlineLevel="0" collapsed="false">
      <c r="A33" s="6" t="s">
        <v>69</v>
      </c>
      <c r="B33" s="13" t="n">
        <f aca="false">1-B32</f>
        <v>0.4</v>
      </c>
      <c r="C33" s="7" t="n">
        <f aca="false">G28*B33</f>
        <v>15512200</v>
      </c>
    </row>
    <row r="35" customFormat="false" ht="30" hidden="false" customHeight="true" outlineLevel="0" collapsed="false">
      <c r="A35" s="14" t="s">
        <v>70</v>
      </c>
      <c r="B35" s="14"/>
      <c r="C35" s="14"/>
      <c r="D35" s="14"/>
      <c r="E35" s="14"/>
      <c r="F35" s="14"/>
      <c r="G35" s="14"/>
    </row>
  </sheetData>
  <mergeCells count="7">
    <mergeCell ref="A1:G1"/>
    <mergeCell ref="A2:G2"/>
    <mergeCell ref="A26:F26"/>
    <mergeCell ref="A27:F27"/>
    <mergeCell ref="A28:F28"/>
    <mergeCell ref="A30:C30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0"/>
  </cols>
  <sheetData>
    <row r="1" customFormat="false" ht="19.7" hidden="false" customHeight="false" outlineLevel="0" collapsed="false">
      <c r="A1" s="15" t="s">
        <v>71</v>
      </c>
      <c r="B1" s="15"/>
      <c r="C1" s="15"/>
    </row>
    <row r="2" customFormat="false" ht="15" hidden="false" customHeight="false" outlineLevel="0" collapsed="false">
      <c r="A2" s="16" t="s">
        <v>72</v>
      </c>
      <c r="B2" s="16"/>
      <c r="C2" s="16"/>
    </row>
    <row r="4" customFormat="false" ht="16.4" hidden="false" customHeight="false" outlineLevel="0" collapsed="false">
      <c r="A4" s="4" t="s">
        <v>3</v>
      </c>
      <c r="B4" s="4" t="s">
        <v>8</v>
      </c>
      <c r="C4" s="4" t="s">
        <v>73</v>
      </c>
    </row>
    <row r="5" customFormat="false" ht="15" hidden="false" customHeight="false" outlineLevel="0" collapsed="false">
      <c r="A5" s="6" t="s">
        <v>9</v>
      </c>
      <c r="B5" s="7" t="n">
        <f aca="false">SUMIF(예산총괄!B5:B25,A5,예산총괄!G5:G25)</f>
        <v>9005000</v>
      </c>
      <c r="C5" s="17" t="n">
        <f aca="false">B5/$B$17</f>
        <v>0.255424762445043</v>
      </c>
    </row>
    <row r="6" customFormat="false" ht="15" hidden="false" customHeight="false" outlineLevel="0" collapsed="false">
      <c r="A6" s="6" t="s">
        <v>14</v>
      </c>
      <c r="B6" s="7" t="n">
        <f aca="false">SUMIF(예산총괄!B5:B25,A6,예산총괄!G5:G25)</f>
        <v>9000000</v>
      </c>
      <c r="C6" s="17" t="n">
        <f aca="false">B6/$B$17</f>
        <v>0.255282938590271</v>
      </c>
    </row>
    <row r="7" customFormat="false" ht="15" hidden="false" customHeight="false" outlineLevel="0" collapsed="false">
      <c r="A7" s="6" t="s">
        <v>21</v>
      </c>
      <c r="B7" s="7" t="n">
        <f aca="false">SUMIF(예산총괄!B5:B25,A7,예산총괄!G5:G25)</f>
        <v>1500000</v>
      </c>
      <c r="C7" s="17" t="n">
        <f aca="false">B7/$B$17</f>
        <v>0.0425471564317118</v>
      </c>
    </row>
    <row r="8" customFormat="false" ht="15" hidden="false" customHeight="false" outlineLevel="0" collapsed="false">
      <c r="A8" s="6" t="s">
        <v>24</v>
      </c>
      <c r="B8" s="7" t="n">
        <f aca="false">SUMIF(예산총괄!B5:B25,A8,예산총괄!G5:G25)</f>
        <v>600000</v>
      </c>
      <c r="C8" s="17" t="n">
        <f aca="false">B8/$B$17</f>
        <v>0.0170188625726847</v>
      </c>
    </row>
    <row r="9" customFormat="false" ht="15" hidden="false" customHeight="false" outlineLevel="0" collapsed="false">
      <c r="A9" s="6" t="s">
        <v>27</v>
      </c>
      <c r="B9" s="7" t="n">
        <f aca="false">SUMIF(예산총괄!B5:B25,A9,예산총괄!G5:G25)</f>
        <v>2950000</v>
      </c>
      <c r="C9" s="17" t="n">
        <f aca="false">B9/$B$17</f>
        <v>0.0836760743156999</v>
      </c>
    </row>
    <row r="10" customFormat="false" ht="15" hidden="false" customHeight="false" outlineLevel="0" collapsed="false">
      <c r="A10" s="6" t="s">
        <v>34</v>
      </c>
      <c r="B10" s="7" t="n">
        <f aca="false">SUMIF(예산총괄!B5:B25,A10,예산총괄!G5:G25)</f>
        <v>2800000</v>
      </c>
      <c r="C10" s="17" t="n">
        <f aca="false">B10/$B$17</f>
        <v>0.0794213586725287</v>
      </c>
    </row>
    <row r="11" customFormat="false" ht="15" hidden="false" customHeight="false" outlineLevel="0" collapsed="false">
      <c r="A11" s="6" t="s">
        <v>41</v>
      </c>
      <c r="B11" s="7" t="n">
        <f aca="false">SUMIF(예산총괄!B5:B25,A11,예산총괄!G5:G25)</f>
        <v>3500000</v>
      </c>
      <c r="C11" s="17" t="n">
        <f aca="false">B11/$B$17</f>
        <v>0.0992766983406609</v>
      </c>
    </row>
    <row r="12" customFormat="false" ht="15" hidden="false" customHeight="false" outlineLevel="0" collapsed="false">
      <c r="A12" s="6" t="s">
        <v>48</v>
      </c>
      <c r="B12" s="7" t="n">
        <f aca="false">SUMIF(예산총괄!B5:B25,A12,예산총괄!G5:G25)</f>
        <v>2000000</v>
      </c>
      <c r="C12" s="17" t="n">
        <f aca="false">B12/$B$17</f>
        <v>0.0567295419089491</v>
      </c>
    </row>
    <row r="13" customFormat="false" ht="15" hidden="false" customHeight="false" outlineLevel="0" collapsed="false">
      <c r="A13" s="6" t="s">
        <v>51</v>
      </c>
      <c r="B13" s="7" t="n">
        <f aca="false">SUMIF(예산총괄!B5:B25,A13,예산총괄!G5:G25)</f>
        <v>600000</v>
      </c>
      <c r="C13" s="17" t="n">
        <f aca="false">B13/$B$17</f>
        <v>0.0170188625726847</v>
      </c>
    </row>
    <row r="14" customFormat="false" ht="15" hidden="false" customHeight="false" outlineLevel="0" collapsed="false">
      <c r="A14" s="6" t="s">
        <v>54</v>
      </c>
      <c r="B14" s="7" t="n">
        <f aca="false">SUMIF(예산총괄!B5:B25,A14,예산총괄!G5:G25)</f>
        <v>1200000</v>
      </c>
      <c r="C14" s="17" t="n">
        <f aca="false">B14/$B$17</f>
        <v>0.0340377251453695</v>
      </c>
    </row>
    <row r="15" customFormat="false" ht="15" hidden="false" customHeight="false" outlineLevel="0" collapsed="false">
      <c r="A15" s="6" t="s">
        <v>57</v>
      </c>
      <c r="B15" s="7" t="n">
        <f aca="false">SUMIF(예산총괄!B5:B25,A15,예산총괄!G5:G25)</f>
        <v>1200000</v>
      </c>
      <c r="C15" s="17" t="n">
        <f aca="false">B15/$B$17</f>
        <v>0.0340377251453695</v>
      </c>
    </row>
    <row r="16" customFormat="false" ht="15" hidden="false" customHeight="false" outlineLevel="0" collapsed="false">
      <c r="A16" s="6" t="s">
        <v>60</v>
      </c>
      <c r="B16" s="7" t="n">
        <f aca="false">SUMIF(예산총괄!B5:B25,A16,예산총괄!G5:G25)</f>
        <v>900000</v>
      </c>
      <c r="C16" s="17" t="n">
        <f aca="false">B16/$B$17</f>
        <v>0.0255282938590271</v>
      </c>
    </row>
    <row r="17" customFormat="false" ht="15" hidden="false" customHeight="false" outlineLevel="0" collapsed="false">
      <c r="A17" s="18" t="s">
        <v>74</v>
      </c>
      <c r="B17" s="9" t="n">
        <f aca="false">SUM(B5:B16)</f>
        <v>35255000</v>
      </c>
      <c r="C17" s="19" t="n">
        <f aca="false">SUM(C5:C16)</f>
        <v>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2026-08-10T10:06:40Z</dcterms:created>
  <dc:creator>openpyxl</dc:creator>
  <dc:description/>
  <dc:language>en-US</dc:language>
  <cp:lastModifiedBy/>
  <dcterms:modified xsi:type="dcterms:W3CDTF">2026-08-10T10:06:48Z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